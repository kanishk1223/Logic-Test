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net" sheetId="1" r:id="rId4"/>
    <sheet state="visible" name="26as" sheetId="2" r:id="rId5"/>
    <sheet state="visible" name="Sr" sheetId="3" r:id="rId6"/>
    <sheet state="visible" name="Derived logics Old" sheetId="4" r:id="rId7"/>
  </sheets>
  <externalReferences>
    <externalReference r:id="rId8"/>
  </externalReferences>
  <definedNames>
    <definedName name="GroubyColumn">[1]Date_Range!$E$2:$E$18</definedName>
    <definedName hidden="1" localSheetId="1" name="_xlnm._FilterDatabase">'26as'!$A$2:$AD$12</definedName>
  </definedNames>
  <calcPr/>
  <extLst>
    <ext uri="GoogleSheetsCustomDataVersion2">
      <go:sheetsCustomData xmlns:go="http://customooxmlschemas.google.com/" r:id="rId9" roundtripDataChecksum="bHhGqFdtydiTVPVZierIjwREG2nZfJVcEwnTnnMAjSs="/>
    </ext>
  </extLst>
</workbook>
</file>

<file path=xl/sharedStrings.xml><?xml version="1.0" encoding="utf-8"?>
<sst xmlns="http://schemas.openxmlformats.org/spreadsheetml/2006/main" count="166" uniqueCount="102">
  <si>
    <t>Threshold</t>
  </si>
  <si>
    <t>Amount</t>
  </si>
  <si>
    <t>TDS</t>
  </si>
  <si>
    <t>Logic</t>
  </si>
  <si>
    <t>Bulk</t>
  </si>
  <si>
    <t>S</t>
  </si>
  <si>
    <t>Cust_name</t>
  </si>
  <si>
    <t>TAN_num</t>
  </si>
  <si>
    <t>Sec</t>
  </si>
  <si>
    <t>T_date</t>
  </si>
  <si>
    <t>B_date</t>
  </si>
  <si>
    <t>Total_amt</t>
  </si>
  <si>
    <t>TDS_Deducted</t>
  </si>
  <si>
    <t>TDS_Deposited</t>
  </si>
  <si>
    <t>Tracking Reference 26AS</t>
  </si>
  <si>
    <t>df</t>
  </si>
  <si>
    <t>s</t>
  </si>
  <si>
    <t>SR</t>
  </si>
  <si>
    <t>INTERNATIONal</t>
  </si>
  <si>
    <t>JLDI00124i</t>
  </si>
  <si>
    <t>194C</t>
  </si>
  <si>
    <t>ASD21050154</t>
  </si>
  <si>
    <t>Internal-3641257326</t>
  </si>
  <si>
    <t>5a - BULK  ABSOLUTE- MATCH 5a (1)</t>
  </si>
  <si>
    <t>Counter row: 78495</t>
  </si>
  <si>
    <t>PRISM</t>
  </si>
  <si>
    <t>MUMH07056z</t>
  </si>
  <si>
    <t>ASD21067022</t>
  </si>
  <si>
    <t>Internal-3641858887</t>
  </si>
  <si>
    <t>Counter row: 91110</t>
  </si>
  <si>
    <t>ASD21067023</t>
  </si>
  <si>
    <t>ASD21050155</t>
  </si>
  <si>
    <t>ASD21067042</t>
  </si>
  <si>
    <t>Internal-3641767776</t>
  </si>
  <si>
    <t>Counter row: 91093</t>
  </si>
  <si>
    <t>ASD21067043</t>
  </si>
  <si>
    <t>ASD21050156</t>
  </si>
  <si>
    <t>ASD21050157</t>
  </si>
  <si>
    <t>ASD21067024</t>
  </si>
  <si>
    <t>ASD21067047</t>
  </si>
  <si>
    <t xml:space="preserve">t= transaction </t>
  </si>
  <si>
    <t xml:space="preserve">base date = 25th june </t>
  </si>
  <si>
    <t xml:space="preserve">base - 90 (end date ) = 25th march </t>
  </si>
  <si>
    <t>S.No</t>
  </si>
  <si>
    <t>Customer Name</t>
  </si>
  <si>
    <t>TAN Number</t>
  </si>
  <si>
    <t>Document Numer</t>
  </si>
  <si>
    <t>Batch</t>
  </si>
  <si>
    <t>Period</t>
  </si>
  <si>
    <t>Taxable Value</t>
  </si>
  <si>
    <t>GST Tax Amount</t>
  </si>
  <si>
    <t>Invoice Value</t>
  </si>
  <si>
    <t>Posting Date</t>
  </si>
  <si>
    <t>Document Date</t>
  </si>
  <si>
    <t>Clearing Document</t>
  </si>
  <si>
    <t>Bank Rcpt amount</t>
  </si>
  <si>
    <t>Bank Credit Date</t>
  </si>
  <si>
    <t>TDS Amount</t>
  </si>
  <si>
    <t>TDS Date</t>
  </si>
  <si>
    <t>PAN Number</t>
  </si>
  <si>
    <t>GSTIN</t>
  </si>
  <si>
    <t>Tracking Reference</t>
  </si>
  <si>
    <t>M1</t>
  </si>
  <si>
    <t>M2</t>
  </si>
  <si>
    <t>qw</t>
  </si>
  <si>
    <t>5152208593</t>
  </si>
  <si>
    <t>SRD21092345</t>
  </si>
  <si>
    <t>100321003084</t>
  </si>
  <si>
    <t>5a - BULK  ABSOLUTE- MATCH 5a (4)</t>
  </si>
  <si>
    <t>Counter row: 50158</t>
  </si>
  <si>
    <t>Match Algo</t>
  </si>
  <si>
    <t>5955518950</t>
  </si>
  <si>
    <t>SRD21107903</t>
  </si>
  <si>
    <t>102421052731</t>
  </si>
  <si>
    <t>5a - BULK  ABSOLUTE- MATCH 5a (3)</t>
  </si>
  <si>
    <t>Counter row: 67025</t>
  </si>
  <si>
    <t>Match Sequential</t>
  </si>
  <si>
    <t>tds= tax deduction date</t>
  </si>
  <si>
    <t>Number</t>
  </si>
  <si>
    <t>MatchType</t>
  </si>
  <si>
    <t>GroupBy (SecondarySheet)</t>
  </si>
  <si>
    <t>Primary</t>
  </si>
  <si>
    <t>Date</t>
  </si>
  <si>
    <t>Date-2</t>
  </si>
  <si>
    <t>Start Date</t>
  </si>
  <si>
    <t>Direction</t>
  </si>
  <si>
    <t>End Date</t>
  </si>
  <si>
    <t>5a</t>
  </si>
  <si>
    <t>BULK  ABSOLUTE- MATCH 5a</t>
  </si>
  <si>
    <t>None</t>
  </si>
  <si>
    <t>0=1</t>
  </si>
  <si>
    <t>C==C</t>
  </si>
  <si>
    <t>H==G</t>
  </si>
  <si>
    <t>J==O</t>
  </si>
  <si>
    <t>E&gt;=P</t>
  </si>
  <si>
    <t>E&gt;=K</t>
  </si>
  <si>
    <t>[01] Base Date</t>
  </si>
  <si>
    <t>- (Backwards)</t>
  </si>
  <si>
    <t>[24] BaseDate-90</t>
  </si>
  <si>
    <t>not req</t>
  </si>
  <si>
    <t xml:space="preserve">0 = bulk </t>
  </si>
  <si>
    <t xml:space="preserve">1 =many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</si>
</sst>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3" numFmtId="0" xfId="0" applyBorder="1" applyFont="1"/>
    <xf borderId="1" fillId="2" fontId="3" numFmtId="14" xfId="0" applyBorder="1" applyFont="1" applyNumberFormat="1"/>
    <xf borderId="1" fillId="3" fontId="2" numFmtId="0" xfId="0" applyBorder="1" applyFill="1" applyFont="1"/>
    <xf borderId="0" fillId="0" fontId="3" numFmtId="15" xfId="0" applyFont="1" applyNumberFormat="1"/>
    <xf borderId="0" fillId="0" fontId="2" numFmtId="15" xfId="0" applyFont="1" applyNumberFormat="1"/>
    <xf borderId="0" fillId="0" fontId="1" numFmtId="0" xfId="0" applyAlignment="1" applyFont="1">
      <alignment readingOrder="0"/>
    </xf>
    <xf borderId="1" fillId="4" fontId="2" numFmtId="0" xfId="0" applyBorder="1" applyFill="1" applyFont="1"/>
    <xf borderId="0" fillId="0" fontId="3" numFmtId="0" xfId="0" applyFont="1"/>
    <xf borderId="0" fillId="0" fontId="3" numFmtId="14" xfId="0" applyFont="1" applyNumberFormat="1"/>
    <xf borderId="1" fillId="4" fontId="3" numFmtId="0" xfId="0" applyBorder="1" applyFont="1"/>
    <xf borderId="1" fillId="3" fontId="3" numFmtId="14" xfId="0" applyBorder="1" applyFont="1" applyNumberFormat="1"/>
    <xf borderId="0" fillId="0" fontId="3" numFmtId="3" xfId="0" applyAlignment="1" applyFont="1" applyNumberFormat="1">
      <alignment readingOrder="0"/>
    </xf>
    <xf borderId="0" fillId="0" fontId="3" numFmtId="3" xfId="0" applyFont="1" applyNumberFormat="1"/>
    <xf borderId="0" fillId="0" fontId="2" numFmtId="14" xfId="0" applyFont="1" applyNumberFormat="1"/>
    <xf borderId="1" fillId="4" fontId="2" numFmtId="0" xfId="0" applyAlignment="1" applyBorder="1" applyFont="1">
      <alignment readingOrder="0"/>
    </xf>
    <xf borderId="0" fillId="0" fontId="2" numFmtId="3" xfId="0" applyFont="1" applyNumberFormat="1"/>
    <xf borderId="1" fillId="4" fontId="2" numFmtId="3" xfId="0" applyAlignment="1" applyBorder="1" applyFont="1" applyNumberFormat="1">
      <alignment readingOrder="0"/>
    </xf>
    <xf borderId="1" fillId="2" fontId="2" numFmtId="0" xfId="0" applyAlignment="1" applyBorder="1" applyFont="1">
      <alignment horizontal="center"/>
    </xf>
    <xf borderId="1" fillId="4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Administrator\Desktop\New_EY\T_File1_demo_v2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heet2"/>
      <sheetName val="Algo"/>
      <sheetName val="Derived"/>
      <sheetName val="Date_Range"/>
      <sheetName val="DerivedDateCheck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B2" s="1" t="s">
        <v>0</v>
      </c>
      <c r="C2" s="1">
        <v>1500.0</v>
      </c>
      <c r="D2" s="1" t="s">
        <v>1</v>
      </c>
    </row>
    <row r="3" ht="14.25" customHeight="1">
      <c r="C3" s="1">
        <v>200.0</v>
      </c>
      <c r="D3" s="1" t="s">
        <v>2</v>
      </c>
    </row>
    <row r="4" ht="14.25" customHeight="1">
      <c r="B4" s="1" t="s">
        <v>3</v>
      </c>
      <c r="C4" s="1" t="s">
        <v>4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86"/>
    <col customWidth="1" min="4" max="4" width="10.14"/>
    <col customWidth="1" min="5" max="5" width="9.43"/>
    <col customWidth="1" min="6" max="30" width="8.71"/>
  </cols>
  <sheetData>
    <row r="1" ht="14.25" customHeight="1">
      <c r="H1" s="1">
        <f t="shared" ref="H1:I1" si="1">SUBTOTAL(9,H2:H12)</f>
        <v>141560.55</v>
      </c>
      <c r="I1" s="1">
        <f t="shared" si="1"/>
        <v>2124</v>
      </c>
    </row>
    <row r="2" ht="14.25" customHeight="1">
      <c r="A2" s="2" t="s">
        <v>5</v>
      </c>
      <c r="B2" s="2" t="s">
        <v>6</v>
      </c>
      <c r="C2" s="3" t="s">
        <v>7</v>
      </c>
      <c r="D2" s="2" t="s">
        <v>8</v>
      </c>
      <c r="E2" s="4" t="s">
        <v>9</v>
      </c>
      <c r="F2" s="2">
        <v>1.0</v>
      </c>
      <c r="G2" s="2" t="s">
        <v>10</v>
      </c>
      <c r="H2" s="3" t="s">
        <v>11</v>
      </c>
      <c r="I2" s="2" t="s">
        <v>12</v>
      </c>
      <c r="J2" s="3" t="s">
        <v>13</v>
      </c>
      <c r="K2" s="5" t="s">
        <v>14</v>
      </c>
      <c r="L2" s="1" t="s">
        <v>15</v>
      </c>
      <c r="M2" s="1" t="s">
        <v>15</v>
      </c>
      <c r="N2" s="1" t="s">
        <v>15</v>
      </c>
      <c r="O2" s="1" t="s">
        <v>16</v>
      </c>
      <c r="P2" s="1" t="s">
        <v>16</v>
      </c>
      <c r="Q2" s="1" t="s">
        <v>16</v>
      </c>
      <c r="R2" s="1" t="s">
        <v>16</v>
      </c>
      <c r="S2" s="1" t="s">
        <v>16</v>
      </c>
      <c r="T2" s="1" t="s">
        <v>16</v>
      </c>
      <c r="U2" s="1">
        <v>123.0</v>
      </c>
      <c r="V2" s="1">
        <v>12.0</v>
      </c>
      <c r="Z2" s="1" t="s">
        <v>17</v>
      </c>
      <c r="AC2" s="1">
        <v>24460.0</v>
      </c>
      <c r="AD2" s="1">
        <v>0.0</v>
      </c>
    </row>
    <row r="3" ht="14.25" hidden="1" customHeight="1">
      <c r="A3" s="1">
        <v>1.0</v>
      </c>
      <c r="B3" s="1" t="s">
        <v>18</v>
      </c>
      <c r="C3" s="1" t="s">
        <v>19</v>
      </c>
      <c r="D3" s="1" t="s">
        <v>20</v>
      </c>
      <c r="E3" s="6">
        <v>44007.0</v>
      </c>
      <c r="G3" s="7">
        <v>44039.0</v>
      </c>
      <c r="H3" s="8">
        <v>1000.0</v>
      </c>
      <c r="I3" s="9">
        <v>15.0</v>
      </c>
      <c r="J3" s="1">
        <v>15.0</v>
      </c>
      <c r="K3" s="1" t="s">
        <v>21</v>
      </c>
      <c r="X3" s="1" t="s">
        <v>22</v>
      </c>
      <c r="Y3" s="1" t="s">
        <v>23</v>
      </c>
      <c r="Z3" s="1" t="s">
        <v>24</v>
      </c>
    </row>
    <row r="4" ht="14.25" customHeight="1">
      <c r="A4" s="1">
        <v>2.0</v>
      </c>
      <c r="B4" s="1" t="s">
        <v>25</v>
      </c>
      <c r="C4" s="1" t="s">
        <v>26</v>
      </c>
      <c r="D4" s="1" t="s">
        <v>20</v>
      </c>
      <c r="E4" s="6">
        <v>44188.0</v>
      </c>
      <c r="G4" s="7">
        <v>44222.0</v>
      </c>
      <c r="H4" s="1">
        <v>36737.49</v>
      </c>
      <c r="I4" s="9">
        <v>551.0</v>
      </c>
      <c r="J4" s="1">
        <v>551.0</v>
      </c>
      <c r="K4" s="1" t="s">
        <v>27</v>
      </c>
      <c r="X4" s="1" t="s">
        <v>28</v>
      </c>
      <c r="Y4" s="1" t="s">
        <v>23</v>
      </c>
      <c r="Z4" s="1" t="s">
        <v>29</v>
      </c>
    </row>
    <row r="5" ht="14.25" customHeight="1">
      <c r="A5" s="1">
        <v>3.0</v>
      </c>
      <c r="B5" s="1" t="s">
        <v>25</v>
      </c>
      <c r="C5" s="1" t="s">
        <v>26</v>
      </c>
      <c r="D5" s="1" t="s">
        <v>20</v>
      </c>
      <c r="E5" s="6">
        <v>44188.0</v>
      </c>
      <c r="G5" s="7">
        <v>44222.0</v>
      </c>
      <c r="H5" s="1">
        <v>36737.49</v>
      </c>
      <c r="I5" s="9">
        <v>551.0</v>
      </c>
      <c r="J5" s="1">
        <v>551.0</v>
      </c>
      <c r="K5" s="1" t="s">
        <v>30</v>
      </c>
      <c r="X5" s="1" t="s">
        <v>28</v>
      </c>
      <c r="Y5" s="1" t="s">
        <v>23</v>
      </c>
      <c r="Z5" s="1" t="s">
        <v>29</v>
      </c>
    </row>
    <row r="6" ht="14.25" hidden="1" customHeight="1">
      <c r="A6" s="1">
        <v>4.0</v>
      </c>
      <c r="B6" s="1" t="s">
        <v>18</v>
      </c>
      <c r="C6" s="1" t="s">
        <v>19</v>
      </c>
      <c r="D6" s="1" t="s">
        <v>20</v>
      </c>
      <c r="E6" s="6">
        <v>44007.0</v>
      </c>
      <c r="G6" s="7">
        <v>44039.0</v>
      </c>
      <c r="H6" s="8">
        <v>1000.0</v>
      </c>
      <c r="I6" s="9">
        <v>15.0</v>
      </c>
      <c r="J6" s="1">
        <v>15.0</v>
      </c>
      <c r="K6" s="1" t="s">
        <v>31</v>
      </c>
      <c r="X6" s="1" t="s">
        <v>22</v>
      </c>
      <c r="Y6" s="1" t="s">
        <v>23</v>
      </c>
      <c r="Z6" s="1" t="s">
        <v>24</v>
      </c>
    </row>
    <row r="7" ht="14.25" customHeight="1">
      <c r="A7" s="1">
        <v>8.0</v>
      </c>
      <c r="B7" s="1" t="s">
        <v>25</v>
      </c>
      <c r="C7" s="1" t="s">
        <v>26</v>
      </c>
      <c r="D7" s="1" t="s">
        <v>20</v>
      </c>
      <c r="E7" s="6">
        <v>44161.0</v>
      </c>
      <c r="G7" s="7">
        <v>44222.0</v>
      </c>
      <c r="H7" s="1">
        <v>606.46</v>
      </c>
      <c r="I7" s="9">
        <v>9.0</v>
      </c>
      <c r="J7" s="1">
        <v>9.0</v>
      </c>
      <c r="K7" s="1" t="s">
        <v>32</v>
      </c>
      <c r="X7" s="1" t="s">
        <v>33</v>
      </c>
      <c r="Y7" s="1" t="s">
        <v>23</v>
      </c>
      <c r="Z7" s="1" t="s">
        <v>34</v>
      </c>
    </row>
    <row r="8" ht="14.25" customHeight="1">
      <c r="A8" s="1">
        <v>9.0</v>
      </c>
      <c r="B8" s="1" t="s">
        <v>25</v>
      </c>
      <c r="C8" s="1" t="s">
        <v>26</v>
      </c>
      <c r="D8" s="1" t="s">
        <v>20</v>
      </c>
      <c r="E8" s="6">
        <v>44161.0</v>
      </c>
      <c r="G8" s="7">
        <v>44222.0</v>
      </c>
      <c r="H8" s="1">
        <v>303.0</v>
      </c>
      <c r="I8" s="9">
        <v>5.0</v>
      </c>
      <c r="J8" s="1">
        <v>5.0</v>
      </c>
      <c r="K8" s="1" t="s">
        <v>35</v>
      </c>
      <c r="X8" s="1" t="s">
        <v>33</v>
      </c>
      <c r="Y8" s="1" t="s">
        <v>23</v>
      </c>
      <c r="Z8" s="1" t="s">
        <v>34</v>
      </c>
    </row>
    <row r="9" ht="14.25" hidden="1" customHeight="1">
      <c r="A9" s="1">
        <v>5.0</v>
      </c>
      <c r="B9" s="1" t="s">
        <v>18</v>
      </c>
      <c r="C9" s="1" t="s">
        <v>19</v>
      </c>
      <c r="D9" s="1" t="s">
        <v>20</v>
      </c>
      <c r="E9" s="6">
        <v>44005.0</v>
      </c>
      <c r="G9" s="7">
        <v>44039.0</v>
      </c>
      <c r="H9" s="8">
        <v>1000.0</v>
      </c>
      <c r="I9" s="9">
        <v>15.0</v>
      </c>
      <c r="J9" s="1">
        <v>15.0</v>
      </c>
      <c r="K9" s="1" t="s">
        <v>36</v>
      </c>
      <c r="X9" s="1" t="s">
        <v>22</v>
      </c>
      <c r="Y9" s="1" t="s">
        <v>23</v>
      </c>
      <c r="Z9" s="1" t="s">
        <v>24</v>
      </c>
    </row>
    <row r="10" ht="14.25" hidden="1" customHeight="1">
      <c r="A10" s="1">
        <v>6.0</v>
      </c>
      <c r="B10" s="1" t="s">
        <v>18</v>
      </c>
      <c r="C10" s="1" t="s">
        <v>19</v>
      </c>
      <c r="D10" s="1" t="s">
        <v>20</v>
      </c>
      <c r="E10" s="6">
        <v>44005.0</v>
      </c>
      <c r="G10" s="7">
        <v>44039.0</v>
      </c>
      <c r="H10" s="8">
        <v>1000.0</v>
      </c>
      <c r="I10" s="9">
        <v>15.0</v>
      </c>
      <c r="J10" s="1">
        <v>15.0</v>
      </c>
      <c r="K10" s="1" t="s">
        <v>37</v>
      </c>
      <c r="X10" s="1" t="s">
        <v>22</v>
      </c>
      <c r="Y10" s="1" t="s">
        <v>23</v>
      </c>
      <c r="Z10" s="1" t="s">
        <v>24</v>
      </c>
    </row>
    <row r="11" ht="14.25" customHeight="1">
      <c r="A11" s="1">
        <v>7.0</v>
      </c>
      <c r="B11" s="1" t="s">
        <v>25</v>
      </c>
      <c r="C11" s="1" t="s">
        <v>26</v>
      </c>
      <c r="D11" s="1" t="s">
        <v>20</v>
      </c>
      <c r="E11" s="6">
        <v>44188.0</v>
      </c>
      <c r="G11" s="7">
        <v>44222.0</v>
      </c>
      <c r="H11" s="1">
        <v>66569.65</v>
      </c>
      <c r="I11" s="9">
        <v>999.0</v>
      </c>
      <c r="J11" s="1">
        <v>999.0</v>
      </c>
      <c r="K11" s="1" t="s">
        <v>38</v>
      </c>
      <c r="X11" s="1" t="s">
        <v>28</v>
      </c>
      <c r="Y11" s="1" t="s">
        <v>23</v>
      </c>
      <c r="Z11" s="1" t="s">
        <v>29</v>
      </c>
    </row>
    <row r="12" ht="14.25" customHeight="1">
      <c r="A12" s="1">
        <v>10.0</v>
      </c>
      <c r="B12" s="1" t="s">
        <v>25</v>
      </c>
      <c r="C12" s="1" t="s">
        <v>26</v>
      </c>
      <c r="D12" s="1" t="s">
        <v>20</v>
      </c>
      <c r="E12" s="6">
        <v>44161.0</v>
      </c>
      <c r="G12" s="7">
        <v>44222.0</v>
      </c>
      <c r="H12" s="1">
        <v>606.46</v>
      </c>
      <c r="I12" s="9">
        <v>9.0</v>
      </c>
      <c r="J12" s="1">
        <v>9.0</v>
      </c>
      <c r="K12" s="1" t="s">
        <v>39</v>
      </c>
      <c r="X12" s="1" t="s">
        <v>33</v>
      </c>
      <c r="Y12" s="1" t="s">
        <v>23</v>
      </c>
      <c r="Z12" s="1" t="s">
        <v>34</v>
      </c>
    </row>
    <row r="13" ht="14.25" customHeight="1"/>
    <row r="14" ht="14.25" customHeight="1">
      <c r="E14" s="8" t="s">
        <v>40</v>
      </c>
    </row>
    <row r="15" ht="14.25" customHeight="1">
      <c r="E15" s="8" t="s">
        <v>41</v>
      </c>
    </row>
    <row r="16" ht="14.25" customHeight="1">
      <c r="E16" s="8" t="s">
        <v>42</v>
      </c>
    </row>
    <row r="17" ht="14.25" customHeight="1"/>
    <row r="18" ht="14.25" customHeight="1"/>
    <row r="19" ht="14.25" customHeight="1"/>
    <row r="20" ht="14.25" customHeight="1">
      <c r="G20" s="8">
        <v>141560.5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AD$12">
    <filterColumn colId="1">
      <filters>
        <filter val="PRISM"/>
      </filters>
    </filterColumn>
    <sortState ref="A2:AD12">
      <sortCondition ref="A2:A12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1.43"/>
    <col customWidth="1" min="3" max="3" width="11.57"/>
    <col customWidth="1" min="4" max="4" width="15.86"/>
    <col customWidth="1" min="5" max="5" width="5.57"/>
    <col customWidth="1" min="6" max="6" width="6.29"/>
    <col customWidth="1" min="7" max="7" width="12.43"/>
    <col customWidth="1" min="8" max="8" width="14.57"/>
    <col customWidth="1" min="9" max="9" width="11.86"/>
    <col customWidth="1" min="10" max="10" width="11.43"/>
    <col customWidth="1" min="11" max="11" width="14.14"/>
    <col customWidth="1" min="12" max="12" width="16.86"/>
    <col customWidth="1" min="13" max="13" width="16.43"/>
    <col customWidth="1" min="14" max="14" width="15.14"/>
    <col customWidth="1" min="15" max="15" width="11.29"/>
    <col customWidth="1" min="16" max="16" width="10.14"/>
    <col customWidth="1" min="17" max="17" width="11.57"/>
    <col customWidth="1" min="18" max="18" width="16.29"/>
    <col customWidth="1" min="19" max="19" width="16.71"/>
    <col customWidth="1" min="20" max="20" width="12.86"/>
    <col customWidth="1" min="21" max="21" width="3.57"/>
    <col customWidth="1" min="22" max="22" width="3.86"/>
    <col customWidth="1" min="23" max="23" width="3.43"/>
    <col customWidth="1" min="24" max="24" width="18.14"/>
    <col customWidth="1" min="25" max="25" width="31.14"/>
    <col customWidth="1" min="26" max="26" width="17.43"/>
    <col customWidth="1" min="27" max="28" width="8.71"/>
    <col customWidth="1" min="29" max="29" width="5.86"/>
    <col customWidth="1" min="30" max="30" width="10.14"/>
  </cols>
  <sheetData>
    <row r="1" ht="14.25" customHeight="1">
      <c r="A1" s="10" t="s">
        <v>43</v>
      </c>
      <c r="B1" s="10" t="s">
        <v>44</v>
      </c>
      <c r="C1" s="10" t="s">
        <v>45</v>
      </c>
      <c r="D1" s="10" t="s">
        <v>46</v>
      </c>
      <c r="E1" s="10" t="s">
        <v>47</v>
      </c>
      <c r="F1" s="10" t="s">
        <v>48</v>
      </c>
      <c r="G1" s="1" t="s">
        <v>49</v>
      </c>
      <c r="H1" s="1" t="s">
        <v>50</v>
      </c>
      <c r="I1" s="10" t="s">
        <v>51</v>
      </c>
      <c r="J1" s="10" t="s">
        <v>52</v>
      </c>
      <c r="K1" s="10" t="s">
        <v>53</v>
      </c>
      <c r="L1" s="10" t="s">
        <v>54</v>
      </c>
      <c r="M1" s="10" t="s">
        <v>55</v>
      </c>
      <c r="N1" s="11" t="s">
        <v>56</v>
      </c>
      <c r="O1" s="12" t="s">
        <v>57</v>
      </c>
      <c r="P1" s="13" t="s">
        <v>58</v>
      </c>
      <c r="Q1" s="10" t="s">
        <v>59</v>
      </c>
      <c r="R1" s="10" t="s">
        <v>60</v>
      </c>
      <c r="S1" s="10" t="s">
        <v>61</v>
      </c>
      <c r="T1" s="10" t="s">
        <v>62</v>
      </c>
      <c r="U1" s="10" t="s">
        <v>63</v>
      </c>
      <c r="V1" s="10">
        <v>234.0</v>
      </c>
      <c r="W1" s="10" t="s">
        <v>64</v>
      </c>
      <c r="X1" s="10"/>
      <c r="Y1" s="10"/>
      <c r="Z1" s="10"/>
      <c r="AA1" s="10"/>
      <c r="AB1" s="10"/>
      <c r="AC1" s="10">
        <v>23606.0</v>
      </c>
      <c r="AD1" s="10">
        <v>0.0</v>
      </c>
    </row>
    <row r="2" ht="14.25" customHeight="1">
      <c r="A2" s="1">
        <v>78494.0</v>
      </c>
      <c r="B2" s="1" t="s">
        <v>18</v>
      </c>
      <c r="C2" s="1" t="s">
        <v>19</v>
      </c>
      <c r="D2" s="1" t="s">
        <v>65</v>
      </c>
      <c r="E2" s="1">
        <v>2020.0</v>
      </c>
      <c r="F2" s="1">
        <v>4.0</v>
      </c>
      <c r="G2" s="14">
        <v>4000.0</v>
      </c>
      <c r="H2" s="1">
        <v>686.0</v>
      </c>
      <c r="I2" s="15">
        <v>4495.0</v>
      </c>
      <c r="J2" s="16">
        <v>43936.0</v>
      </c>
      <c r="K2" s="16">
        <v>43936.0</v>
      </c>
      <c r="L2" s="1">
        <v>3.500021794E9</v>
      </c>
      <c r="M2" s="1">
        <v>0.0</v>
      </c>
      <c r="N2" s="11">
        <v>43998.0</v>
      </c>
      <c r="O2" s="17">
        <v>60.0</v>
      </c>
      <c r="P2" s="16">
        <v>43998.0</v>
      </c>
      <c r="S2" s="1" t="s">
        <v>66</v>
      </c>
      <c r="T2" s="1" t="s">
        <v>67</v>
      </c>
      <c r="X2" s="1" t="s">
        <v>22</v>
      </c>
      <c r="Y2" s="1" t="s">
        <v>68</v>
      </c>
      <c r="Z2" s="1" t="s">
        <v>69</v>
      </c>
      <c r="AD2" s="1" t="s">
        <v>70</v>
      </c>
    </row>
    <row r="3" ht="14.25" customHeight="1">
      <c r="A3" s="1">
        <v>91109.0</v>
      </c>
      <c r="B3" s="1" t="s">
        <v>25</v>
      </c>
      <c r="C3" s="1" t="s">
        <v>26</v>
      </c>
      <c r="D3" s="1" t="s">
        <v>71</v>
      </c>
      <c r="E3" s="1">
        <v>2020.0</v>
      </c>
      <c r="F3" s="1">
        <v>12.0</v>
      </c>
      <c r="G3" s="8">
        <v>141560.5</v>
      </c>
      <c r="H3" s="18">
        <v>25217.0</v>
      </c>
      <c r="I3" s="15">
        <v>165309.0</v>
      </c>
      <c r="J3" s="16">
        <v>44176.0</v>
      </c>
      <c r="K3" s="16">
        <v>44176.0</v>
      </c>
      <c r="L3" s="1">
        <v>3.50003671E9</v>
      </c>
      <c r="M3" s="1">
        <v>0.0</v>
      </c>
      <c r="N3" s="11">
        <v>44186.0</v>
      </c>
      <c r="O3" s="19">
        <v>2124.0</v>
      </c>
      <c r="P3" s="16">
        <v>44186.0</v>
      </c>
      <c r="S3" s="1" t="s">
        <v>72</v>
      </c>
      <c r="T3" s="1" t="s">
        <v>73</v>
      </c>
      <c r="X3" s="1" t="s">
        <v>28</v>
      </c>
      <c r="Y3" s="1" t="s">
        <v>74</v>
      </c>
      <c r="Z3" s="1" t="s">
        <v>75</v>
      </c>
      <c r="AD3" s="1" t="s">
        <v>76</v>
      </c>
    </row>
    <row r="4" ht="14.25" customHeight="1"/>
    <row r="5" ht="14.25" customHeight="1">
      <c r="G5" s="18"/>
      <c r="O5" s="18"/>
      <c r="P5" s="8" t="s">
        <v>77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0" t="s">
        <v>78</v>
      </c>
      <c r="B1" s="10" t="s">
        <v>79</v>
      </c>
      <c r="C1" s="10" t="s">
        <v>80</v>
      </c>
      <c r="D1" s="10" t="s">
        <v>79</v>
      </c>
      <c r="E1" s="10" t="s">
        <v>81</v>
      </c>
      <c r="F1" s="10" t="s">
        <v>1</v>
      </c>
      <c r="G1" s="10" t="s">
        <v>2</v>
      </c>
      <c r="H1" s="10" t="s">
        <v>82</v>
      </c>
      <c r="I1" s="10" t="s">
        <v>83</v>
      </c>
      <c r="J1" s="10" t="s">
        <v>84</v>
      </c>
      <c r="K1" s="10" t="s">
        <v>85</v>
      </c>
      <c r="L1" s="10" t="s">
        <v>86</v>
      </c>
      <c r="N1" s="1">
        <v>100.0</v>
      </c>
    </row>
    <row r="2" ht="14.25" customHeight="1">
      <c r="A2" s="20" t="s">
        <v>87</v>
      </c>
      <c r="B2" s="1" t="s">
        <v>88</v>
      </c>
      <c r="C2" s="10" t="s">
        <v>89</v>
      </c>
      <c r="D2" s="10" t="s">
        <v>90</v>
      </c>
      <c r="E2" s="10" t="s">
        <v>91</v>
      </c>
      <c r="F2" s="10" t="s">
        <v>92</v>
      </c>
      <c r="G2" s="10" t="s">
        <v>93</v>
      </c>
      <c r="H2" s="10" t="s">
        <v>94</v>
      </c>
      <c r="I2" s="21" t="s">
        <v>95</v>
      </c>
      <c r="J2" s="10" t="s">
        <v>96</v>
      </c>
      <c r="K2" s="12" t="s">
        <v>97</v>
      </c>
      <c r="L2" s="10" t="s">
        <v>98</v>
      </c>
    </row>
    <row r="3" ht="14.25" customHeight="1">
      <c r="D3" s="8">
        <v>3.0</v>
      </c>
      <c r="E3" s="8">
        <v>1.0</v>
      </c>
      <c r="F3" s="8">
        <v>5.0</v>
      </c>
      <c r="G3" s="8">
        <v>6.0</v>
      </c>
      <c r="H3" s="8">
        <v>4.0</v>
      </c>
      <c r="I3" s="8" t="s">
        <v>99</v>
      </c>
      <c r="J3" s="8">
        <v>2.0</v>
      </c>
      <c r="K3" s="8">
        <v>2.0</v>
      </c>
      <c r="L3" s="8">
        <v>2.0</v>
      </c>
    </row>
    <row r="4" ht="14.25" customHeight="1"/>
    <row r="5" ht="14.25" customHeight="1">
      <c r="D5" s="8" t="s">
        <v>100</v>
      </c>
    </row>
    <row r="6" ht="14.25" customHeight="1">
      <c r="D6" s="8" t="s">
        <v>101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C2">
      <formula1>GroubyColumn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2024-05-17T15:44:01Z</dcterms:created>
  <dc:creator>Shaik Haneef Basha</dc:creator>
</cp:coreProperties>
</file>